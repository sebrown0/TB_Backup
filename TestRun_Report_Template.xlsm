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860" yWindow="530" windowWidth="31430" windowHeight="11060" firstSheet="2" activeTab="3"/>
  </bookViews>
  <sheets>
    <sheet name="template" sheetId="1" state="hidden" r:id="rId1"/>
    <sheet name="headers" sheetId="2" state="hidden" r:id="rId2"/>
    <sheet name="Notes" sheetId="3" r:id="rId3"/>
    <sheet name="Top Right Nav Bar (All)" sheetId="4" r:id="rId4"/>
    <sheet name="lookup" sheetId="5" r:id="rId5"/>
  </sheets>
  <functionGroups builtInGroupCount="17"/>
  <definedNames>
    <definedName name="nrFailed">headers!$A$8:$P$10</definedName>
    <definedName name="nrQualifiedPass">headers!$A$13:$P$15</definedName>
    <definedName name="nrSummary">headers!$A$2:$P$5</definedName>
    <definedName name="nrUserID">lookup!$A$2</definedName>
    <definedName name="nrUserName">lookup!$B$2</definedName>
  </definedNames>
  <calcPr calcId="144525"/>
</workbook>
</file>

<file path=xl/calcChain.xml><?xml version="1.0" encoding="utf-8"?>
<calcChain xmlns="http://schemas.openxmlformats.org/spreadsheetml/2006/main">
  <c r="H6" i="1" l="1"/>
  <c r="J6" i="1" s="1"/>
  <c r="M6" i="1"/>
  <c r="A1" i="1"/>
</calcChain>
</file>

<file path=xl/sharedStrings.xml><?xml version="1.0" encoding="utf-8"?>
<sst xmlns="http://schemas.openxmlformats.org/spreadsheetml/2006/main" count="350" uniqueCount="148">
  <si>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</si>
  <si>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</si>
  <si>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</si>
  <si>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</si>
  <si>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</si>
  <si>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</si>
  <si>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</si>
  <si>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</si>
  <si>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</si>
  <si>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</si>
  <si>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</si>
  <si>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</si>
  <si>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</si>
  <si>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</si>
  <si>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</si>
  <si>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</si>
  <si>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</si>
  <si>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</si>
  <si>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</si>
  <si>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</si>
  <si>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</si>
  <si>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</si>
  <si>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</si>
  <si>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</si>
  <si>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</si>
  <si>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</si>
  <si>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</si>
  <si>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</si>
  <si>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</si>
  <si>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</si>
  <si>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</si>
  <si>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</si>
  <si>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</si>
  <si>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</si>
  <si>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</si>
  <si>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</si>
  <si>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</si>
  <si>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</si>
  <si>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</si>
  <si>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</si>
  <si>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</si>
  <si>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</si>
  <si>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</si>
  <si>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</si>
  <si>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</si>
  <si>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</si>
  <si>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</si>
  <si>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</si>
  <si>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</si>
  <si>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</si>
  <si>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</si>
  <si>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</si>
  <si>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</si>
  <si>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</si>
  <si>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</si>
  <si>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</si>
  <si>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</si>
  <si>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</si>
  <si>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</si>
  <si>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</si>
  <si>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</si>
  <si>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</si>
  <si>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</si>
  <si>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</si>
  <si>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</si>
  <si>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</si>
  <si>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</si>
  <si>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</si>
  <si>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</si>
  <si>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</si>
  <si>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</si>
  <si>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</si>
  <si>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</si>
  <si>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</si>
  <si>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</si>
  <si>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</si>
  <si>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</si>
  <si>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</si>
  <si>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</si>
  <si>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</si>
  <si>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</si>
  <si>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</si>
  <si>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</si>
  <si>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</si>
  <si>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</si>
  <si>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</si>
  <si>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</si>
  <si>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</si>
  <si>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</si>
  <si>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</si>
  <si>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</si>
  <si>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</si>
  <si>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</si>
  <si>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</si>
  <si>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</si>
  <si>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</si>
  <si>
    <t>Only one paygroup available [Monthly Paygroup]. Where are the others?</t>
  </si>
  <si>
    <t>% Coverage 
of Entities</t>
  </si>
  <si>
    <t>Last Run</t>
  </si>
  <si>
    <t>Data In</t>
  </si>
  <si>
    <t>Data Out</t>
  </si>
  <si>
    <t>Data Expected</t>
  </si>
  <si>
    <t>% Coverage of Entities</t>
  </si>
  <si>
    <t>Percentage Failed</t>
  </si>
  <si>
    <t>Num Failed</t>
  </si>
  <si>
    <t>Num Passed</t>
  </si>
  <si>
    <t>Qualfied Passes</t>
  </si>
  <si>
    <t>Percentage QPs</t>
  </si>
  <si>
    <t>Num Ignored</t>
  </si>
  <si>
    <t>Highest Fail Severity</t>
  </si>
  <si>
    <t>Test Run Summary:</t>
  </si>
  <si>
    <t>General</t>
  </si>
  <si>
    <t>Each worksheet gives a summary of completed test runs.</t>
  </si>
  <si>
    <t>Note: The worksheet names are the test run names but they may be truncated as the max len of a WS name is 31 chars.</t>
  </si>
  <si>
    <t>The WB name consists of the test run IDs followed by the date of the report.</t>
  </si>
  <si>
    <t>Worksheet</t>
  </si>
  <si>
    <t>Workbook</t>
  </si>
  <si>
    <t>Each worksheet will always have a summary section but will only display failed and qualified passes if they exist</t>
  </si>
  <si>
    <t>Test Run Summary</t>
  </si>
  <si>
    <t>Contains various stats about the test run.</t>
  </si>
  <si>
    <t>Test Suite: The name (hierarchy) to which the test belongs.</t>
  </si>
  <si>
    <t xml:space="preserve">Test: </t>
  </si>
  <si>
    <t>Data In:</t>
  </si>
  <si>
    <t>Data Out:</t>
  </si>
  <si>
    <t>Fail Severity:</t>
  </si>
  <si>
    <t>Data Expected:</t>
  </si>
  <si>
    <t>Name of the test</t>
  </si>
  <si>
    <t>The data (if any) used in the test</t>
  </si>
  <si>
    <t>The data (if any) produced by the test</t>
  </si>
  <si>
    <t>The data expected, i.e. label text</t>
  </si>
  <si>
    <t>Range of 1 - 5. With 1 the highest.</t>
  </si>
  <si>
    <t xml:space="preserve">As usual with Excel some of the cell contents can be 'truncated'  to fit. If this is the case, please select the cell and either </t>
  </si>
  <si>
    <t>Test Run Summary: Top Right Nav Bar (All)</t>
  </si>
  <si>
    <t xml:space="preserve">Test the the top right nav bar and the top level of its children </t>
  </si>
  <si>
    <t>Employee Creation Wizard failed</t>
  </si>
  <si>
    <t>Step 5</t>
  </si>
  <si>
    <t>2021-05-26 - 16:00:59</t>
  </si>
  <si>
    <t>2021-05-26 - 16:02:09</t>
  </si>
  <si>
    <t>12EE</t>
  </si>
  <si>
    <t>-</t>
  </si>
  <si>
    <t>Should not be allowed to enter non-numeric or invalid value</t>
  </si>
  <si>
    <t>2021-05-26 - 16:09:03</t>
  </si>
  <si>
    <t>1EE</t>
  </si>
  <si>
    <t>2021-05-26 - 16:20:21</t>
  </si>
  <si>
    <t>Employee</t>
  </si>
  <si>
    <t>Label should be [Employee] not [Employees]</t>
  </si>
  <si>
    <t>User Name</t>
  </si>
  <si>
    <t>User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</si>
</sst>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8BF8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0" fontId="2" fillId="11" borderId="0" xfId="0" applyFont="1" applyFill="1" applyAlignment="1">
      <alignment vertical="top"/>
    </xf>
    <xf numFmtId="0" fontId="2" fillId="11" borderId="0" xfId="0" applyFont="1" applyFill="1" applyAlignment="1">
      <alignment horizontal="center" vertical="top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/>
    <xf numFmtId="0" fontId="0" fillId="12" borderId="0" xfId="0" applyFill="1"/>
    <xf numFmtId="22" fontId="0" fillId="12" borderId="0" xfId="0" applyNumberFormat="1" applyFill="1"/>
    <xf numFmtId="0" fontId="0" fillId="13" borderId="0" xfId="0" applyFill="1" applyAlignment="1">
      <alignment horizontal="left"/>
    </xf>
    <xf numFmtId="0" fontId="0" fillId="13" borderId="0" xfId="0" applyFill="1"/>
    <xf numFmtId="0" fontId="0" fillId="14" borderId="0" xfId="0" applyFill="1" applyAlignment="1">
      <alignment horizontal="left"/>
    </xf>
    <xf numFmtId="0" fontId="0" fillId="14" borderId="0" xfId="0" applyFill="1"/>
    <xf numFmtId="0" fontId="2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/>
    <xf numFmtId="0" fontId="0" fillId="7" borderId="0" xfId="0" applyFill="1" applyAlignment="1"/>
    <xf numFmtId="0" fontId="0" fillId="5" borderId="0" xfId="0" applyFill="1" applyAlignment="1"/>
    <xf numFmtId="0" fontId="3" fillId="11" borderId="0" xfId="0" applyFont="1" applyFill="1" applyAlignment="1">
      <alignment horizontal="center" vertical="center"/>
    </xf>
    <xf numFmtId="0" fontId="4" fillId="0" borderId="0" xfId="0" applyFont="1" applyAlignment="1"/>
    <xf numFmtId="0" fontId="2" fillId="0" borderId="0" xfId="0" applyFont="1" applyAlignment="1">
      <alignment horizontal="center"/>
    </xf>
    <xf numFmtId="0" fontId="5" fillId="0" borderId="0" xfId="0" applyFont="1" applyAlignment="1"/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late"/>
  <dimension ref="A1:P39"/>
  <sheetViews>
    <sheetView workbookViewId="0">
      <pane ySplit="6" topLeftCell="A7" activePane="bottomLeft" state="frozen"/>
      <selection pane="bottomLeft" activeCell="J11" sqref="J11:O11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7265625" style="2" bestFit="1" customWidth="1"/>
    <col min="9" max="9" width="11.08984375" style="2" customWidth="1"/>
    <col min="10" max="10" width="11.36328125" style="1" customWidth="1"/>
    <col min="11" max="11" width="10.7265625" style="1" customWidth="1"/>
    <col min="12" max="12" width="8.6328125" style="1" bestFit="1" customWidth="1"/>
    <col min="13" max="13" width="11" style="2" bestFit="1" customWidth="1"/>
    <col min="14" max="14" width="7.81640625" style="1" bestFit="1" customWidth="1"/>
    <col min="15" max="15" width="8.08984375" style="1" bestFit="1" customWidth="1"/>
    <col min="16" max="16" width="32.453125" style="1" customWidth="1"/>
    <col min="17" max="17" width="3.26953125" style="1" bestFit="1" customWidth="1"/>
    <col min="18" max="18" width="4.81640625" style="1" bestFit="1" customWidth="1"/>
    <col min="19" max="19" width="4.08984375" style="1" bestFit="1" customWidth="1"/>
    <col min="20" max="20" width="4.81640625" style="1" bestFit="1" customWidth="1"/>
    <col min="21" max="21" width="5.7265625" style="1" bestFit="1" customWidth="1"/>
    <col min="22" max="22" width="4.81640625" style="1" bestFit="1" customWidth="1"/>
    <col min="23" max="23" width="6.54296875" style="1" bestFit="1" customWidth="1"/>
    <col min="24" max="24" width="4.81640625" style="1" bestFit="1" customWidth="1"/>
    <col min="25" max="25" width="7.26953125" style="1" bestFit="1" customWidth="1"/>
    <col min="26" max="26" width="5.90625" style="1" bestFit="1" customWidth="1"/>
    <col min="27" max="27" width="9.54296875" style="1" bestFit="1" customWidth="1"/>
    <col min="28" max="16384" width="8.7265625" style="1"/>
  </cols>
  <sheetData>
    <row r="1" spans="1:16" x14ac:dyDescent="0.35">
      <c r="A1" s="43" t="str">
        <f>CONCATENATE("Test Run Summary: ", $B$6)</f>
        <v>Test Run Summary: Top Right Nav Bar (All)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ht="14.5" customHeight="1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1:16" ht="15.5" customHeight="1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1:16" ht="15.5" customHeight="1" x14ac:dyDescent="0.35">
      <c r="A4" s="40" t="s">
        <v>10</v>
      </c>
      <c r="B4" s="40" t="s">
        <v>11</v>
      </c>
      <c r="C4" s="41" t="s">
        <v>17</v>
      </c>
      <c r="D4" s="40" t="s">
        <v>12</v>
      </c>
      <c r="E4" s="41" t="s">
        <v>13</v>
      </c>
      <c r="F4" s="40" t="s">
        <v>14</v>
      </c>
      <c r="G4" s="42" t="s">
        <v>93</v>
      </c>
      <c r="H4" s="42" t="s">
        <v>97</v>
      </c>
      <c r="I4" s="42" t="s">
        <v>3</v>
      </c>
      <c r="J4" s="42" t="s">
        <v>94</v>
      </c>
      <c r="K4" s="42" t="s">
        <v>4</v>
      </c>
      <c r="L4" s="42" t="s">
        <v>31</v>
      </c>
      <c r="M4" s="42" t="s">
        <v>95</v>
      </c>
      <c r="N4" s="42" t="s">
        <v>5</v>
      </c>
      <c r="O4" s="42" t="s">
        <v>19</v>
      </c>
      <c r="P4" s="40" t="s">
        <v>15</v>
      </c>
    </row>
    <row r="5" spans="1:16" ht="15.5" customHeight="1" x14ac:dyDescent="0.35">
      <c r="A5" s="40"/>
      <c r="B5" s="40"/>
      <c r="C5" s="41"/>
      <c r="D5" s="40"/>
      <c r="E5" s="41"/>
      <c r="F5" s="40"/>
      <c r="G5" s="41"/>
      <c r="H5" s="41"/>
      <c r="I5" s="41"/>
      <c r="J5" s="42"/>
      <c r="K5" s="41"/>
      <c r="L5" s="42"/>
      <c r="M5" s="42"/>
      <c r="N5" s="41"/>
      <c r="O5" s="41"/>
      <c r="P5" s="40"/>
    </row>
    <row r="6" spans="1:16" ht="15.5" x14ac:dyDescent="0.35">
      <c r="A6" s="25">
        <v>3</v>
      </c>
      <c r="B6" s="25" t="s">
        <v>9</v>
      </c>
      <c r="C6" s="26" t="s">
        <v>18</v>
      </c>
      <c r="D6" s="25" t="s">
        <v>6</v>
      </c>
      <c r="E6" s="26" t="s">
        <v>16</v>
      </c>
      <c r="F6" s="25" t="s">
        <v>7</v>
      </c>
      <c r="G6" s="26">
        <v>229</v>
      </c>
      <c r="H6" s="27">
        <f>(G6/566)*100</f>
        <v>40.459363957597169</v>
      </c>
      <c r="I6" s="26">
        <v>9</v>
      </c>
      <c r="J6" s="27">
        <f>(H6/((G6-N6)/100))</f>
        <v>18.906244839998678</v>
      </c>
      <c r="K6" s="26">
        <v>190</v>
      </c>
      <c r="L6" s="26">
        <v>15</v>
      </c>
      <c r="M6" s="27">
        <f>(L6/(G6-N6))*100</f>
        <v>7.009345794392523</v>
      </c>
      <c r="N6" s="26">
        <v>15</v>
      </c>
      <c r="O6" s="26">
        <v>2</v>
      </c>
      <c r="P6" s="25" t="s">
        <v>8</v>
      </c>
    </row>
    <row r="8" spans="1:16" ht="18.5" customHeight="1" x14ac:dyDescent="0.35">
      <c r="A8" s="46" t="s">
        <v>53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20"/>
      <c r="O8" s="20"/>
      <c r="P8" s="20"/>
    </row>
    <row r="9" spans="1:16" ht="18.5" customHeight="1" x14ac:dyDescent="0.3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20"/>
      <c r="O9" s="20"/>
      <c r="P9" s="20"/>
    </row>
    <row r="10" spans="1:16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2"/>
      <c r="M10" s="24"/>
      <c r="N10" s="20"/>
      <c r="O10" s="20"/>
      <c r="P10" s="23" t="s">
        <v>51</v>
      </c>
    </row>
    <row r="11" spans="1:16" x14ac:dyDescent="0.35">
      <c r="A11" s="3" t="s">
        <v>20</v>
      </c>
      <c r="B11" s="4" t="s">
        <v>21</v>
      </c>
      <c r="C11" s="4" t="s">
        <v>32</v>
      </c>
      <c r="D11" s="4" t="s">
        <v>33</v>
      </c>
      <c r="E11" s="5">
        <v>65</v>
      </c>
      <c r="F11" s="4" t="s">
        <v>34</v>
      </c>
      <c r="G11" s="5" t="s">
        <v>35</v>
      </c>
      <c r="H11" s="5">
        <v>2</v>
      </c>
      <c r="I11" s="5"/>
      <c r="J11" s="48" t="s">
        <v>52</v>
      </c>
      <c r="K11" s="48"/>
      <c r="L11" s="48"/>
      <c r="M11" s="48"/>
      <c r="N11" s="48"/>
      <c r="O11" s="48"/>
      <c r="P11" s="5">
        <v>17</v>
      </c>
    </row>
    <row r="12" spans="1:16" x14ac:dyDescent="0.35">
      <c r="A12" s="44" t="s">
        <v>21</v>
      </c>
      <c r="B12" s="8" t="s">
        <v>54</v>
      </c>
      <c r="C12" s="8" t="s">
        <v>32</v>
      </c>
      <c r="D12" s="8" t="s">
        <v>41</v>
      </c>
      <c r="E12" s="9">
        <v>80</v>
      </c>
      <c r="F12" s="8" t="s">
        <v>34</v>
      </c>
      <c r="G12" s="9" t="s">
        <v>35</v>
      </c>
      <c r="H12" s="9">
        <v>2</v>
      </c>
      <c r="I12" s="9"/>
      <c r="J12" s="49" t="s">
        <v>89</v>
      </c>
      <c r="K12" s="49"/>
      <c r="L12" s="49"/>
      <c r="M12" s="49"/>
      <c r="N12" s="49"/>
      <c r="O12" s="49"/>
      <c r="P12" s="9">
        <v>106</v>
      </c>
    </row>
    <row r="13" spans="1:16" x14ac:dyDescent="0.35">
      <c r="A13" s="44"/>
      <c r="B13" s="8" t="s">
        <v>27</v>
      </c>
      <c r="C13" s="8" t="s">
        <v>32</v>
      </c>
      <c r="D13" s="8" t="s">
        <v>36</v>
      </c>
      <c r="E13" s="9">
        <v>106</v>
      </c>
      <c r="F13" s="8" t="s">
        <v>34</v>
      </c>
      <c r="G13" s="9" t="s">
        <v>35</v>
      </c>
      <c r="H13" s="9">
        <v>2</v>
      </c>
      <c r="I13" s="9"/>
      <c r="J13" s="49" t="s">
        <v>90</v>
      </c>
      <c r="K13" s="49"/>
      <c r="L13" s="49"/>
      <c r="M13" s="49"/>
      <c r="N13" s="49"/>
      <c r="O13" s="49"/>
      <c r="P13" s="9">
        <v>96</v>
      </c>
    </row>
    <row r="14" spans="1:16" x14ac:dyDescent="0.35">
      <c r="A14" s="45" t="s">
        <v>27</v>
      </c>
      <c r="B14" s="4" t="s">
        <v>29</v>
      </c>
      <c r="C14" s="4" t="s">
        <v>32</v>
      </c>
      <c r="D14" s="4" t="s">
        <v>37</v>
      </c>
      <c r="E14" s="5">
        <v>186</v>
      </c>
      <c r="F14" s="4" t="s">
        <v>38</v>
      </c>
      <c r="G14" s="5" t="s">
        <v>35</v>
      </c>
      <c r="H14" s="5">
        <v>2</v>
      </c>
      <c r="I14" s="5"/>
      <c r="J14" s="48" t="s">
        <v>91</v>
      </c>
      <c r="K14" s="48"/>
      <c r="L14" s="48"/>
      <c r="M14" s="48"/>
      <c r="N14" s="48"/>
      <c r="O14" s="48"/>
      <c r="P14" s="5">
        <v>97</v>
      </c>
    </row>
    <row r="15" spans="1:16" x14ac:dyDescent="0.35">
      <c r="A15" s="45"/>
      <c r="B15" s="4" t="s">
        <v>30</v>
      </c>
      <c r="C15" s="4" t="s">
        <v>32</v>
      </c>
      <c r="D15" s="4" t="s">
        <v>39</v>
      </c>
      <c r="E15" s="5">
        <v>187</v>
      </c>
      <c r="F15" s="4" t="s">
        <v>38</v>
      </c>
      <c r="G15" s="5" t="s">
        <v>35</v>
      </c>
      <c r="H15" s="5">
        <v>2</v>
      </c>
      <c r="I15" s="5"/>
      <c r="J15" s="48" t="s">
        <v>91</v>
      </c>
      <c r="K15" s="48"/>
      <c r="L15" s="48"/>
      <c r="M15" s="48"/>
      <c r="N15" s="48"/>
      <c r="O15" s="48"/>
      <c r="P15" s="5">
        <v>98</v>
      </c>
    </row>
    <row r="16" spans="1:16" x14ac:dyDescent="0.35">
      <c r="A16" s="45"/>
      <c r="B16" s="4" t="s">
        <v>55</v>
      </c>
      <c r="C16" s="4" t="s">
        <v>32</v>
      </c>
      <c r="D16" s="4" t="s">
        <v>40</v>
      </c>
      <c r="E16" s="5">
        <v>189</v>
      </c>
      <c r="F16" s="4" t="s">
        <v>38</v>
      </c>
      <c r="G16" s="5" t="s">
        <v>35</v>
      </c>
      <c r="H16" s="5">
        <v>2</v>
      </c>
      <c r="I16" s="5"/>
      <c r="J16" s="48" t="s">
        <v>89</v>
      </c>
      <c r="K16" s="48"/>
      <c r="L16" s="48"/>
      <c r="M16" s="48"/>
      <c r="N16" s="48"/>
      <c r="O16" s="48"/>
      <c r="P16" s="5">
        <v>100</v>
      </c>
    </row>
    <row r="17" spans="1:16" x14ac:dyDescent="0.35">
      <c r="A17" s="10" t="s">
        <v>20</v>
      </c>
      <c r="B17" s="8" t="s">
        <v>22</v>
      </c>
      <c r="C17" s="8" t="s">
        <v>32</v>
      </c>
      <c r="D17" s="8" t="s">
        <v>42</v>
      </c>
      <c r="E17" s="9">
        <v>66</v>
      </c>
      <c r="F17" s="8" t="s">
        <v>34</v>
      </c>
      <c r="G17" s="9" t="s">
        <v>35</v>
      </c>
      <c r="H17" s="9">
        <v>5</v>
      </c>
      <c r="I17" s="9"/>
      <c r="J17" s="49" t="s">
        <v>89</v>
      </c>
      <c r="K17" s="49"/>
      <c r="L17" s="49"/>
      <c r="M17" s="49"/>
      <c r="N17" s="49"/>
      <c r="O17" s="49"/>
      <c r="P17" s="9">
        <v>18</v>
      </c>
    </row>
    <row r="18" spans="1:16" x14ac:dyDescent="0.35">
      <c r="A18" s="45" t="s">
        <v>22</v>
      </c>
      <c r="B18" s="4" t="s">
        <v>56</v>
      </c>
      <c r="C18" s="4" t="s">
        <v>32</v>
      </c>
      <c r="D18" s="4" t="s">
        <v>43</v>
      </c>
      <c r="E18" s="5">
        <v>81</v>
      </c>
      <c r="F18" s="4" t="s">
        <v>34</v>
      </c>
      <c r="G18" s="5" t="s">
        <v>35</v>
      </c>
      <c r="H18" s="5">
        <v>5</v>
      </c>
      <c r="I18" s="5"/>
      <c r="J18" s="48" t="s">
        <v>89</v>
      </c>
      <c r="K18" s="48"/>
      <c r="L18" s="48"/>
      <c r="M18" s="48"/>
      <c r="N18" s="48"/>
      <c r="O18" s="48"/>
      <c r="P18" s="5">
        <v>108</v>
      </c>
    </row>
    <row r="19" spans="1:16" x14ac:dyDescent="0.35">
      <c r="A19" s="45"/>
      <c r="B19" s="4" t="s">
        <v>28</v>
      </c>
      <c r="C19" s="4" t="s">
        <v>32</v>
      </c>
      <c r="D19" s="4" t="s">
        <v>44</v>
      </c>
      <c r="E19" s="5">
        <v>112</v>
      </c>
      <c r="F19" s="4" t="s">
        <v>34</v>
      </c>
      <c r="G19" s="5" t="s">
        <v>35</v>
      </c>
      <c r="H19" s="5">
        <v>5</v>
      </c>
      <c r="I19" s="5"/>
      <c r="J19" s="48" t="s">
        <v>92</v>
      </c>
      <c r="K19" s="48"/>
      <c r="L19" s="48"/>
      <c r="M19" s="48"/>
      <c r="N19" s="48"/>
      <c r="O19" s="48"/>
      <c r="P19" s="5">
        <v>114</v>
      </c>
    </row>
    <row r="21" spans="1:16" x14ac:dyDescent="0.35">
      <c r="A21" s="47" t="s">
        <v>57</v>
      </c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15"/>
      <c r="O21" s="15"/>
      <c r="P21" s="15"/>
    </row>
    <row r="22" spans="1:16" x14ac:dyDescent="0.3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15"/>
      <c r="O22" s="15"/>
      <c r="P22" s="15"/>
    </row>
    <row r="23" spans="1:16" ht="15.5" x14ac:dyDescent="0.35">
      <c r="A23" s="16" t="s">
        <v>45</v>
      </c>
      <c r="B23" s="17" t="s">
        <v>0</v>
      </c>
      <c r="C23" s="17" t="s">
        <v>46</v>
      </c>
      <c r="D23" s="17" t="s">
        <v>47</v>
      </c>
      <c r="E23" s="18" t="s">
        <v>48</v>
      </c>
      <c r="F23" s="17" t="s">
        <v>49</v>
      </c>
      <c r="G23" s="18" t="s">
        <v>1</v>
      </c>
      <c r="H23" s="18" t="s">
        <v>50</v>
      </c>
      <c r="I23" s="18"/>
      <c r="J23" s="17" t="s">
        <v>2</v>
      </c>
      <c r="K23" s="17"/>
      <c r="L23" s="17"/>
      <c r="M23" s="19"/>
      <c r="N23" s="15"/>
      <c r="O23" s="15"/>
      <c r="P23" s="18" t="s">
        <v>51</v>
      </c>
    </row>
    <row r="24" spans="1:16" x14ac:dyDescent="0.35">
      <c r="A24" s="13" t="s">
        <v>58</v>
      </c>
      <c r="B24" s="13" t="s">
        <v>60</v>
      </c>
      <c r="C24" s="13" t="s">
        <v>32</v>
      </c>
      <c r="D24" s="13" t="s">
        <v>61</v>
      </c>
      <c r="E24" s="14">
        <v>63</v>
      </c>
      <c r="F24" s="13" t="s">
        <v>34</v>
      </c>
      <c r="G24" s="14" t="s">
        <v>62</v>
      </c>
      <c r="H24" s="14" t="s">
        <v>59</v>
      </c>
      <c r="I24" s="14"/>
      <c r="J24" s="52" t="s">
        <v>75</v>
      </c>
      <c r="K24" s="52"/>
      <c r="L24" s="52"/>
      <c r="M24" s="52"/>
      <c r="N24" s="52"/>
      <c r="O24" s="52"/>
      <c r="P24" s="14">
        <v>15</v>
      </c>
    </row>
    <row r="25" spans="1:16" x14ac:dyDescent="0.35">
      <c r="A25" s="50" t="s">
        <v>21</v>
      </c>
      <c r="B25" s="11" t="s">
        <v>63</v>
      </c>
      <c r="C25" s="11" t="s">
        <v>32</v>
      </c>
      <c r="D25" s="11" t="s">
        <v>61</v>
      </c>
      <c r="E25" s="12">
        <v>102</v>
      </c>
      <c r="F25" s="11" t="s">
        <v>34</v>
      </c>
      <c r="G25" s="12" t="s">
        <v>62</v>
      </c>
      <c r="H25" s="12" t="s">
        <v>59</v>
      </c>
      <c r="I25" s="12"/>
      <c r="J25" s="53" t="s">
        <v>76</v>
      </c>
      <c r="K25" s="53"/>
      <c r="L25" s="53"/>
      <c r="M25" s="53"/>
      <c r="N25" s="53"/>
      <c r="O25" s="53"/>
      <c r="P25" s="12">
        <v>49</v>
      </c>
    </row>
    <row r="26" spans="1:16" x14ac:dyDescent="0.35">
      <c r="A26" s="50"/>
      <c r="B26" s="11" t="s">
        <v>66</v>
      </c>
      <c r="C26" s="11" t="s">
        <v>32</v>
      </c>
      <c r="D26" s="11" t="s">
        <v>61</v>
      </c>
      <c r="E26" s="12">
        <v>103</v>
      </c>
      <c r="F26" s="11" t="s">
        <v>34</v>
      </c>
      <c r="G26" s="12" t="s">
        <v>62</v>
      </c>
      <c r="H26" s="12" t="s">
        <v>59</v>
      </c>
      <c r="I26" s="12"/>
      <c r="J26" s="53" t="s">
        <v>76</v>
      </c>
      <c r="K26" s="53"/>
      <c r="L26" s="53"/>
      <c r="M26" s="53"/>
      <c r="N26" s="53"/>
      <c r="O26" s="53"/>
      <c r="P26" s="12">
        <v>61</v>
      </c>
    </row>
    <row r="27" spans="1:16" x14ac:dyDescent="0.35">
      <c r="A27" s="50"/>
      <c r="B27" s="11" t="s">
        <v>71</v>
      </c>
      <c r="C27" s="11" t="s">
        <v>32</v>
      </c>
      <c r="D27" s="11" t="s">
        <v>61</v>
      </c>
      <c r="E27" s="12">
        <v>104</v>
      </c>
      <c r="F27" s="11" t="s">
        <v>34</v>
      </c>
      <c r="G27" s="12" t="s">
        <v>62</v>
      </c>
      <c r="H27" s="12" t="s">
        <v>59</v>
      </c>
      <c r="I27" s="12"/>
      <c r="J27" s="53" t="s">
        <v>76</v>
      </c>
      <c r="K27" s="53"/>
      <c r="L27" s="53"/>
      <c r="M27" s="53"/>
      <c r="N27" s="53"/>
      <c r="O27" s="53"/>
      <c r="P27" s="12">
        <v>73</v>
      </c>
    </row>
    <row r="28" spans="1:16" x14ac:dyDescent="0.35">
      <c r="A28" s="50"/>
      <c r="B28" s="11" t="s">
        <v>72</v>
      </c>
      <c r="C28" s="11" t="s">
        <v>32</v>
      </c>
      <c r="D28" s="11" t="s">
        <v>61</v>
      </c>
      <c r="E28" s="12">
        <v>105</v>
      </c>
      <c r="F28" s="11" t="s">
        <v>34</v>
      </c>
      <c r="G28" s="12" t="s">
        <v>62</v>
      </c>
      <c r="H28" s="12" t="s">
        <v>59</v>
      </c>
      <c r="I28" s="12"/>
      <c r="J28" s="53" t="s">
        <v>76</v>
      </c>
      <c r="K28" s="53"/>
      <c r="L28" s="53"/>
      <c r="M28" s="53"/>
      <c r="N28" s="53"/>
      <c r="O28" s="53"/>
      <c r="P28" s="12">
        <v>86</v>
      </c>
    </row>
    <row r="29" spans="1:16" x14ac:dyDescent="0.35">
      <c r="A29" s="51" t="s">
        <v>23</v>
      </c>
      <c r="B29" s="13" t="s">
        <v>64</v>
      </c>
      <c r="C29" s="13" t="s">
        <v>32</v>
      </c>
      <c r="D29" s="13" t="s">
        <v>61</v>
      </c>
      <c r="E29" s="14">
        <v>141</v>
      </c>
      <c r="F29" s="13" t="s">
        <v>34</v>
      </c>
      <c r="G29" s="14" t="s">
        <v>62</v>
      </c>
      <c r="H29" s="14" t="s">
        <v>59</v>
      </c>
      <c r="I29" s="14"/>
      <c r="J29" s="52" t="s">
        <v>77</v>
      </c>
      <c r="K29" s="52"/>
      <c r="L29" s="52"/>
      <c r="M29" s="52"/>
      <c r="N29" s="52"/>
      <c r="O29" s="52"/>
      <c r="P29" s="14">
        <v>52</v>
      </c>
    </row>
    <row r="30" spans="1:16" x14ac:dyDescent="0.35">
      <c r="A30" s="51"/>
      <c r="B30" s="13" t="s">
        <v>65</v>
      </c>
      <c r="C30" s="13" t="s">
        <v>32</v>
      </c>
      <c r="D30" s="13" t="s">
        <v>61</v>
      </c>
      <c r="E30" s="14">
        <v>142</v>
      </c>
      <c r="F30" s="13" t="s">
        <v>34</v>
      </c>
      <c r="G30" s="14" t="s">
        <v>62</v>
      </c>
      <c r="H30" s="14" t="s">
        <v>59</v>
      </c>
      <c r="I30" s="14"/>
      <c r="J30" s="52" t="s">
        <v>78</v>
      </c>
      <c r="K30" s="52"/>
      <c r="L30" s="52"/>
      <c r="M30" s="52"/>
      <c r="N30" s="52"/>
      <c r="O30" s="52"/>
      <c r="P30" s="14">
        <v>53</v>
      </c>
    </row>
    <row r="31" spans="1:16" x14ac:dyDescent="0.35">
      <c r="A31" s="50" t="s">
        <v>24</v>
      </c>
      <c r="B31" s="11" t="s">
        <v>67</v>
      </c>
      <c r="C31" s="11" t="s">
        <v>32</v>
      </c>
      <c r="D31" s="11" t="s">
        <v>61</v>
      </c>
      <c r="E31" s="12">
        <v>152</v>
      </c>
      <c r="F31" s="11" t="s">
        <v>34</v>
      </c>
      <c r="G31" s="12" t="s">
        <v>62</v>
      </c>
      <c r="H31" s="12" t="s">
        <v>59</v>
      </c>
      <c r="I31" s="12"/>
      <c r="J31" s="53" t="s">
        <v>79</v>
      </c>
      <c r="K31" s="53"/>
      <c r="L31" s="53"/>
      <c r="M31" s="53"/>
      <c r="N31" s="53"/>
      <c r="O31" s="53"/>
      <c r="P31" s="12">
        <v>63</v>
      </c>
    </row>
    <row r="32" spans="1:16" x14ac:dyDescent="0.35">
      <c r="A32" s="50"/>
      <c r="B32" s="11" t="s">
        <v>68</v>
      </c>
      <c r="C32" s="11" t="s">
        <v>32</v>
      </c>
      <c r="D32" s="11" t="s">
        <v>61</v>
      </c>
      <c r="E32" s="12">
        <v>154</v>
      </c>
      <c r="F32" s="11" t="s">
        <v>38</v>
      </c>
      <c r="G32" s="12" t="s">
        <v>62</v>
      </c>
      <c r="H32" s="12" t="s">
        <v>59</v>
      </c>
      <c r="I32" s="12"/>
      <c r="J32" s="53" t="s">
        <v>80</v>
      </c>
      <c r="K32" s="53"/>
      <c r="L32" s="53"/>
      <c r="M32" s="53"/>
      <c r="N32" s="53"/>
      <c r="O32" s="53"/>
      <c r="P32" s="12">
        <v>65</v>
      </c>
    </row>
    <row r="33" spans="1:16" x14ac:dyDescent="0.35">
      <c r="A33" s="50"/>
      <c r="B33" s="11" t="s">
        <v>69</v>
      </c>
      <c r="C33" s="11" t="s">
        <v>32</v>
      </c>
      <c r="D33" s="11" t="s">
        <v>61</v>
      </c>
      <c r="E33" s="12">
        <v>155</v>
      </c>
      <c r="F33" s="11" t="s">
        <v>38</v>
      </c>
      <c r="G33" s="12" t="s">
        <v>62</v>
      </c>
      <c r="H33" s="12" t="s">
        <v>59</v>
      </c>
      <c r="I33" s="12"/>
      <c r="J33" s="53" t="s">
        <v>81</v>
      </c>
      <c r="K33" s="53"/>
      <c r="L33" s="53"/>
      <c r="M33" s="53"/>
      <c r="N33" s="53"/>
      <c r="O33" s="53"/>
      <c r="P33" s="12">
        <v>66</v>
      </c>
    </row>
    <row r="34" spans="1:16" x14ac:dyDescent="0.35">
      <c r="A34" s="50"/>
      <c r="B34" s="11" t="s">
        <v>70</v>
      </c>
      <c r="C34" s="11" t="s">
        <v>32</v>
      </c>
      <c r="D34" s="11" t="s">
        <v>61</v>
      </c>
      <c r="E34" s="12">
        <v>158</v>
      </c>
      <c r="F34" s="11" t="s">
        <v>38</v>
      </c>
      <c r="G34" s="12" t="s">
        <v>62</v>
      </c>
      <c r="H34" s="12" t="s">
        <v>59</v>
      </c>
      <c r="I34" s="12"/>
      <c r="J34" s="53" t="s">
        <v>82</v>
      </c>
      <c r="K34" s="53"/>
      <c r="L34" s="53"/>
      <c r="M34" s="53"/>
      <c r="N34" s="53"/>
      <c r="O34" s="53"/>
      <c r="P34" s="12">
        <v>69</v>
      </c>
    </row>
    <row r="35" spans="1:16" x14ac:dyDescent="0.35">
      <c r="A35" s="13" t="s">
        <v>25</v>
      </c>
      <c r="B35" s="13" t="s">
        <v>87</v>
      </c>
      <c r="C35" s="13" t="s">
        <v>32</v>
      </c>
      <c r="D35" s="13" t="s">
        <v>88</v>
      </c>
      <c r="E35" s="14">
        <v>166</v>
      </c>
      <c r="F35" s="13" t="s">
        <v>38</v>
      </c>
      <c r="G35" s="14" t="s">
        <v>62</v>
      </c>
      <c r="H35" s="14" t="s">
        <v>59</v>
      </c>
      <c r="I35" s="14"/>
      <c r="J35" s="52" t="s">
        <v>96</v>
      </c>
      <c r="K35" s="52"/>
      <c r="L35" s="52"/>
      <c r="M35" s="52"/>
      <c r="N35" s="52"/>
      <c r="O35" s="52"/>
      <c r="P35" s="14">
        <v>77</v>
      </c>
    </row>
    <row r="36" spans="1:16" x14ac:dyDescent="0.35">
      <c r="A36" s="50" t="s">
        <v>26</v>
      </c>
      <c r="B36" s="11" t="s">
        <v>73</v>
      </c>
      <c r="C36" s="11" t="s">
        <v>32</v>
      </c>
      <c r="D36" s="11" t="s">
        <v>61</v>
      </c>
      <c r="E36" s="12">
        <v>177</v>
      </c>
      <c r="F36" s="11" t="s">
        <v>38</v>
      </c>
      <c r="G36" s="12" t="s">
        <v>62</v>
      </c>
      <c r="H36" s="12" t="s">
        <v>59</v>
      </c>
      <c r="I36" s="12"/>
      <c r="J36" s="53" t="s">
        <v>83</v>
      </c>
      <c r="K36" s="53"/>
      <c r="L36" s="53"/>
      <c r="M36" s="53"/>
      <c r="N36" s="53"/>
      <c r="O36" s="53"/>
      <c r="P36" s="12">
        <v>88</v>
      </c>
    </row>
    <row r="37" spans="1:16" x14ac:dyDescent="0.35">
      <c r="A37" s="50"/>
      <c r="B37" s="11" t="s">
        <v>73</v>
      </c>
      <c r="C37" s="11" t="s">
        <v>32</v>
      </c>
      <c r="D37" s="11" t="s">
        <v>61</v>
      </c>
      <c r="E37" s="12">
        <v>179</v>
      </c>
      <c r="F37" s="11" t="s">
        <v>38</v>
      </c>
      <c r="G37" s="12" t="s">
        <v>62</v>
      </c>
      <c r="H37" s="12" t="s">
        <v>59</v>
      </c>
      <c r="I37" s="12"/>
      <c r="J37" s="53" t="s">
        <v>84</v>
      </c>
      <c r="K37" s="53"/>
      <c r="L37" s="53"/>
      <c r="M37" s="53"/>
      <c r="N37" s="53"/>
      <c r="O37" s="53"/>
      <c r="P37" s="12">
        <v>90</v>
      </c>
    </row>
    <row r="38" spans="1:16" x14ac:dyDescent="0.35">
      <c r="A38" s="50"/>
      <c r="B38" s="11" t="s">
        <v>73</v>
      </c>
      <c r="C38" s="11" t="s">
        <v>32</v>
      </c>
      <c r="D38" s="11" t="s">
        <v>61</v>
      </c>
      <c r="E38" s="12">
        <v>181</v>
      </c>
      <c r="F38" s="11" t="s">
        <v>38</v>
      </c>
      <c r="G38" s="12" t="s">
        <v>62</v>
      </c>
      <c r="H38" s="12" t="s">
        <v>59</v>
      </c>
      <c r="I38" s="12"/>
      <c r="J38" s="53" t="s">
        <v>85</v>
      </c>
      <c r="K38" s="53"/>
      <c r="L38" s="53"/>
      <c r="M38" s="53"/>
      <c r="N38" s="53"/>
      <c r="O38" s="53"/>
      <c r="P38" s="12">
        <v>92</v>
      </c>
    </row>
    <row r="39" spans="1:16" x14ac:dyDescent="0.35">
      <c r="A39" s="6" t="s">
        <v>22</v>
      </c>
      <c r="B39" s="6" t="s">
        <v>74</v>
      </c>
      <c r="C39" s="6" t="s">
        <v>32</v>
      </c>
      <c r="D39" s="6" t="s">
        <v>61</v>
      </c>
      <c r="E39" s="7">
        <v>111</v>
      </c>
      <c r="F39" s="6" t="s">
        <v>34</v>
      </c>
      <c r="G39" s="7" t="s">
        <v>62</v>
      </c>
      <c r="H39" s="7" t="s">
        <v>59</v>
      </c>
      <c r="I39" s="7"/>
      <c r="J39" s="54" t="s">
        <v>86</v>
      </c>
      <c r="K39" s="54"/>
      <c r="L39" s="54"/>
      <c r="M39" s="54"/>
      <c r="N39" s="54"/>
      <c r="O39" s="54"/>
      <c r="P39" s="7">
        <v>113</v>
      </c>
    </row>
  </sheetData>
  <mergeCells count="51">
    <mergeCell ref="N4:N5"/>
    <mergeCell ref="J39:O39"/>
    <mergeCell ref="J11:O11"/>
    <mergeCell ref="J12:O12"/>
    <mergeCell ref="J13:O13"/>
    <mergeCell ref="J14:O14"/>
    <mergeCell ref="J30:O30"/>
    <mergeCell ref="J31:O31"/>
    <mergeCell ref="J32:O32"/>
    <mergeCell ref="J33:O33"/>
    <mergeCell ref="J34:O34"/>
    <mergeCell ref="J35:O35"/>
    <mergeCell ref="J19:O19"/>
    <mergeCell ref="J36:O36"/>
    <mergeCell ref="A25:A28"/>
    <mergeCell ref="A29:A30"/>
    <mergeCell ref="A31:A34"/>
    <mergeCell ref="A36:A38"/>
    <mergeCell ref="J24:O24"/>
    <mergeCell ref="J25:O25"/>
    <mergeCell ref="J26:O26"/>
    <mergeCell ref="J27:O27"/>
    <mergeCell ref="J28:O28"/>
    <mergeCell ref="J29:O29"/>
    <mergeCell ref="J37:O37"/>
    <mergeCell ref="J38:O38"/>
    <mergeCell ref="A12:A13"/>
    <mergeCell ref="A14:A16"/>
    <mergeCell ref="A18:A19"/>
    <mergeCell ref="A8:M9"/>
    <mergeCell ref="A21:M22"/>
    <mergeCell ref="J15:O15"/>
    <mergeCell ref="J16:O16"/>
    <mergeCell ref="J17:O17"/>
    <mergeCell ref="J18:O18"/>
    <mergeCell ref="P4:P5"/>
    <mergeCell ref="C4:C5"/>
    <mergeCell ref="O4:O5"/>
    <mergeCell ref="M4:M5"/>
    <mergeCell ref="A1:P3"/>
    <mergeCell ref="A4:A5"/>
    <mergeCell ref="B4:B5"/>
    <mergeCell ref="D4:D5"/>
    <mergeCell ref="E4:E5"/>
    <mergeCell ref="F4:F5"/>
    <mergeCell ref="G4:G5"/>
    <mergeCell ref="H4:H5"/>
    <mergeCell ref="K4:K5"/>
    <mergeCell ref="J4:J5"/>
    <mergeCell ref="L4:L5"/>
    <mergeCell ref="I4:I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ers"/>
  <dimension ref="A2:P15"/>
  <sheetViews>
    <sheetView workbookViewId="0">
      <selection activeCell="A5" sqref="A5"/>
    </sheetView>
  </sheetViews>
  <sheetFormatPr defaultRowHeight="14.5" x14ac:dyDescent="0.35"/>
  <cols>
    <col min="1" max="1" width="12" customWidth="1"/>
    <col min="2" max="2" width="16.90625" customWidth="1"/>
    <col min="3" max="3" width="14.7265625" customWidth="1"/>
    <col min="4" max="4" width="13.26953125" customWidth="1"/>
    <col min="5" max="5" width="10.90625" customWidth="1"/>
    <col min="6" max="6" width="11.08984375" customWidth="1"/>
    <col min="7" max="7" width="11.36328125" customWidth="1"/>
    <col min="8" max="8" width="23.1796875" customWidth="1"/>
    <col min="9" max="9" width="13.08984375" customWidth="1"/>
    <col min="10" max="10" width="18.08984375" customWidth="1"/>
    <col min="11" max="11" width="12.08984375" bestFit="1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.26953125" bestFit="1" customWidth="1"/>
  </cols>
  <sheetData>
    <row r="2" spans="1:16" x14ac:dyDescent="0.35">
      <c r="A2" s="55" t="s">
        <v>110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x14ac:dyDescent="0.3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16" x14ac:dyDescent="0.3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</row>
    <row r="5" spans="1:16" ht="14.5" customHeight="1" x14ac:dyDescent="0.35">
      <c r="A5" s="28" t="s">
        <v>10</v>
      </c>
      <c r="B5" s="28" t="s">
        <v>11</v>
      </c>
      <c r="C5" s="28" t="s">
        <v>17</v>
      </c>
      <c r="D5" s="28" t="s">
        <v>12</v>
      </c>
      <c r="E5" s="28" t="s">
        <v>13</v>
      </c>
      <c r="F5" s="28" t="s">
        <v>14</v>
      </c>
      <c r="G5" s="29" t="s">
        <v>93</v>
      </c>
      <c r="H5" s="28" t="s">
        <v>102</v>
      </c>
      <c r="I5" s="28" t="s">
        <v>104</v>
      </c>
      <c r="J5" s="28" t="s">
        <v>103</v>
      </c>
      <c r="K5" s="28" t="s">
        <v>105</v>
      </c>
      <c r="L5" s="28" t="s">
        <v>106</v>
      </c>
      <c r="M5" s="28" t="s">
        <v>107</v>
      </c>
      <c r="N5" s="28" t="s">
        <v>108</v>
      </c>
      <c r="O5" s="28" t="s">
        <v>109</v>
      </c>
      <c r="P5" s="28" t="s">
        <v>15</v>
      </c>
    </row>
    <row r="8" spans="1:16" ht="14.5" customHeight="1" x14ac:dyDescent="0.35">
      <c r="A8" s="46" t="s">
        <v>53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</row>
    <row r="9" spans="1:16" ht="14.5" customHeight="1" x14ac:dyDescent="0.3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</row>
    <row r="10" spans="1:16" ht="15.5" x14ac:dyDescent="0.35">
      <c r="A10" s="22" t="s">
        <v>45</v>
      </c>
      <c r="B10" s="22" t="s">
        <v>0</v>
      </c>
      <c r="C10" s="22" t="s">
        <v>51</v>
      </c>
      <c r="D10" s="22" t="s">
        <v>98</v>
      </c>
      <c r="E10" s="22" t="s">
        <v>48</v>
      </c>
      <c r="F10" s="22" t="s">
        <v>99</v>
      </c>
      <c r="G10" s="22" t="s">
        <v>100</v>
      </c>
      <c r="H10" s="22" t="s">
        <v>101</v>
      </c>
      <c r="I10" s="22" t="s">
        <v>1</v>
      </c>
      <c r="J10" s="22" t="s">
        <v>50</v>
      </c>
      <c r="K10" s="22" t="s">
        <v>2</v>
      </c>
      <c r="L10" s="22"/>
      <c r="M10" s="24"/>
      <c r="N10" s="20"/>
      <c r="O10" s="20"/>
      <c r="P10" s="23"/>
    </row>
    <row r="13" spans="1:16" ht="14.5" customHeight="1" x14ac:dyDescent="0.35">
      <c r="A13" s="47" t="s">
        <v>57</v>
      </c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</row>
    <row r="14" spans="1:16" ht="14.5" customHeight="1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</row>
    <row r="15" spans="1:16" ht="15.5" x14ac:dyDescent="0.35">
      <c r="A15" s="17" t="s">
        <v>45</v>
      </c>
      <c r="B15" s="17" t="s">
        <v>0</v>
      </c>
      <c r="C15" s="17" t="s">
        <v>51</v>
      </c>
      <c r="D15" s="17" t="s">
        <v>98</v>
      </c>
      <c r="E15" s="17" t="s">
        <v>48</v>
      </c>
      <c r="F15" s="17" t="s">
        <v>99</v>
      </c>
      <c r="G15" s="17" t="s">
        <v>100</v>
      </c>
      <c r="H15" s="17" t="s">
        <v>101</v>
      </c>
      <c r="I15" s="17" t="s">
        <v>1</v>
      </c>
      <c r="J15" s="17" t="s">
        <v>50</v>
      </c>
      <c r="K15" s="17" t="s">
        <v>2</v>
      </c>
      <c r="L15" s="17"/>
      <c r="M15" s="19"/>
      <c r="N15" s="15"/>
      <c r="O15" s="15"/>
      <c r="P15" s="18"/>
    </row>
  </sheetData>
  <mergeCells count="3">
    <mergeCell ref="A2:P4"/>
    <mergeCell ref="A8:P9"/>
    <mergeCell ref="A13:P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2"/>
  <sheetViews>
    <sheetView workbookViewId="0">
      <selection activeCell="R18" sqref="R18"/>
    </sheetView>
  </sheetViews>
  <sheetFormatPr defaultRowHeight="15.5" x14ac:dyDescent="0.35"/>
  <cols>
    <col min="1" max="1" width="14.7265625" style="30" customWidth="1"/>
    <col min="2" max="2" width="36.90625" style="30" customWidth="1"/>
    <col min="3" max="3" width="10.26953125" style="30" customWidth="1"/>
    <col min="4" max="6" width="8.7265625" style="30"/>
    <col min="7" max="7" width="34.6328125" style="30" customWidth="1"/>
    <col min="8" max="16384" width="8.7265625" style="30"/>
  </cols>
  <sheetData>
    <row r="1" spans="1:8" x14ac:dyDescent="0.35">
      <c r="A1" s="57" t="s">
        <v>111</v>
      </c>
      <c r="B1" s="57"/>
      <c r="C1" s="57"/>
      <c r="D1" s="57"/>
      <c r="E1" s="57"/>
      <c r="F1" s="57"/>
      <c r="G1" s="57"/>
    </row>
    <row r="2" spans="1:8" x14ac:dyDescent="0.35">
      <c r="A2" s="58" t="s">
        <v>116</v>
      </c>
      <c r="B2" s="58"/>
      <c r="C2" s="58"/>
      <c r="D2" s="58"/>
      <c r="E2" s="58"/>
      <c r="F2" s="58"/>
      <c r="G2" s="58"/>
    </row>
    <row r="3" spans="1:8" x14ac:dyDescent="0.35">
      <c r="A3" s="56" t="s">
        <v>114</v>
      </c>
      <c r="B3" s="56"/>
      <c r="C3" s="56"/>
      <c r="D3" s="56"/>
      <c r="E3" s="56"/>
      <c r="F3" s="56"/>
      <c r="G3" s="56"/>
    </row>
    <row r="4" spans="1:8" x14ac:dyDescent="0.35">
      <c r="A4" s="56"/>
      <c r="B4" s="56"/>
      <c r="C4" s="56"/>
      <c r="D4" s="56"/>
      <c r="E4" s="56"/>
      <c r="F4" s="56"/>
      <c r="G4" s="56"/>
    </row>
    <row r="5" spans="1:8" x14ac:dyDescent="0.35">
      <c r="A5" s="58" t="s">
        <v>115</v>
      </c>
      <c r="B5" s="58"/>
      <c r="C5" s="58"/>
      <c r="D5" s="58"/>
      <c r="E5" s="58"/>
      <c r="F5" s="58"/>
      <c r="G5" s="58"/>
    </row>
    <row r="6" spans="1:8" x14ac:dyDescent="0.35">
      <c r="A6" s="56" t="s">
        <v>112</v>
      </c>
      <c r="B6" s="56"/>
      <c r="C6" s="56"/>
      <c r="D6" s="56"/>
      <c r="E6" s="56"/>
      <c r="F6" s="56"/>
      <c r="G6" s="56"/>
    </row>
    <row r="7" spans="1:8" x14ac:dyDescent="0.35">
      <c r="A7" s="56" t="s">
        <v>113</v>
      </c>
      <c r="B7" s="56"/>
      <c r="C7" s="56"/>
      <c r="D7" s="56"/>
      <c r="E7" s="56"/>
      <c r="F7" s="56"/>
      <c r="G7" s="56"/>
    </row>
    <row r="8" spans="1:8" x14ac:dyDescent="0.35">
      <c r="A8" s="33"/>
      <c r="B8" s="33"/>
      <c r="C8" s="33"/>
      <c r="D8" s="33"/>
      <c r="E8" s="33"/>
      <c r="F8" s="33"/>
      <c r="G8" s="33"/>
    </row>
    <row r="9" spans="1:8" x14ac:dyDescent="0.35">
      <c r="A9" s="56" t="s">
        <v>117</v>
      </c>
      <c r="B9" s="56"/>
      <c r="C9" s="56"/>
      <c r="D9" s="56"/>
      <c r="E9" s="56"/>
      <c r="F9" s="56"/>
      <c r="G9" s="56"/>
    </row>
    <row r="10" spans="1:8" x14ac:dyDescent="0.35">
      <c r="A10" s="33"/>
      <c r="B10" s="33"/>
      <c r="C10" s="33"/>
      <c r="D10" s="33"/>
      <c r="E10" s="33"/>
      <c r="F10" s="33"/>
      <c r="G10" s="33"/>
    </row>
    <row r="11" spans="1:8" x14ac:dyDescent="0.35">
      <c r="A11" s="56" t="s">
        <v>131</v>
      </c>
      <c r="B11" s="56"/>
      <c r="C11" s="56"/>
      <c r="D11" s="56"/>
      <c r="E11" s="56"/>
      <c r="F11" s="56"/>
      <c r="G11" s="56"/>
    </row>
    <row r="12" spans="1:8" x14ac:dyDescent="0.35">
      <c r="A12" s="57" t="s">
        <v>118</v>
      </c>
      <c r="B12" s="57"/>
      <c r="C12" s="57"/>
      <c r="D12" s="57"/>
      <c r="E12" s="57"/>
      <c r="F12" s="57"/>
      <c r="G12" s="57"/>
    </row>
    <row r="13" spans="1:8" x14ac:dyDescent="0.35">
      <c r="A13" s="56" t="s">
        <v>119</v>
      </c>
      <c r="B13" s="56"/>
      <c r="C13" s="56"/>
      <c r="D13" s="56"/>
      <c r="E13" s="56"/>
      <c r="F13" s="56"/>
      <c r="G13" s="56"/>
    </row>
    <row r="14" spans="1:8" x14ac:dyDescent="0.35">
      <c r="A14" s="59"/>
      <c r="B14" s="59"/>
      <c r="C14" s="59"/>
      <c r="D14" s="59"/>
      <c r="E14" s="59"/>
      <c r="F14" s="59"/>
      <c r="G14" s="59"/>
    </row>
    <row r="15" spans="1:8" x14ac:dyDescent="0.35">
      <c r="A15" s="56"/>
      <c r="B15" s="56"/>
      <c r="C15" s="56"/>
      <c r="D15" s="56"/>
      <c r="E15" s="56"/>
      <c r="F15" s="56"/>
      <c r="G15" s="56"/>
    </row>
    <row r="16" spans="1:8" x14ac:dyDescent="0.35">
      <c r="A16" s="57" t="s">
        <v>53</v>
      </c>
      <c r="B16" s="57"/>
      <c r="C16" s="57"/>
      <c r="D16" s="57"/>
      <c r="E16" s="57"/>
      <c r="F16" s="57"/>
      <c r="G16" s="57"/>
      <c r="H16" s="31"/>
    </row>
    <row r="17" spans="1:7" x14ac:dyDescent="0.35">
      <c r="A17" s="56" t="s">
        <v>120</v>
      </c>
      <c r="B17" s="56"/>
      <c r="C17" s="56"/>
      <c r="D17" s="56"/>
      <c r="E17" s="56"/>
      <c r="F17" s="56"/>
      <c r="G17" s="56"/>
    </row>
    <row r="18" spans="1:7" x14ac:dyDescent="0.35">
      <c r="A18" s="32" t="s">
        <v>121</v>
      </c>
      <c r="B18" s="30" t="s">
        <v>126</v>
      </c>
    </row>
    <row r="19" spans="1:7" x14ac:dyDescent="0.35">
      <c r="A19" s="32" t="s">
        <v>122</v>
      </c>
      <c r="B19" s="30" t="s">
        <v>127</v>
      </c>
    </row>
    <row r="20" spans="1:7" x14ac:dyDescent="0.35">
      <c r="A20" s="32" t="s">
        <v>123</v>
      </c>
      <c r="B20" s="30" t="s">
        <v>128</v>
      </c>
    </row>
    <row r="21" spans="1:7" x14ac:dyDescent="0.35">
      <c r="A21" s="32" t="s">
        <v>125</v>
      </c>
      <c r="B21" s="30" t="s">
        <v>129</v>
      </c>
    </row>
    <row r="22" spans="1:7" x14ac:dyDescent="0.35">
      <c r="A22" s="32" t="s">
        <v>124</v>
      </c>
      <c r="B22" s="30" t="s">
        <v>130</v>
      </c>
    </row>
  </sheetData>
  <mergeCells count="15">
    <mergeCell ref="A17:G17"/>
    <mergeCell ref="A9:G9"/>
    <mergeCell ref="A11:G11"/>
    <mergeCell ref="A12:G12"/>
    <mergeCell ref="A13:G13"/>
    <mergeCell ref="A15:G15"/>
    <mergeCell ref="A16:G16"/>
    <mergeCell ref="A14:G14"/>
    <mergeCell ref="A7:G7"/>
    <mergeCell ref="A6:G6"/>
    <mergeCell ref="A1:G1"/>
    <mergeCell ref="A2:G2"/>
    <mergeCell ref="A3:G3"/>
    <mergeCell ref="A4:G4"/>
    <mergeCell ref="A5:G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3"/>
  <sheetViews>
    <sheetView tabSelected="1" workbookViewId="0">
      <selection activeCell="I12" sqref="I12"/>
    </sheetView>
  </sheetViews>
  <sheetFormatPr defaultRowHeight="14.5" x14ac:dyDescent="0.35"/>
  <cols>
    <col min="1" max="1" width="11.08984375" customWidth="1"/>
    <col min="2" max="2" width="15.1796875" customWidth="1"/>
    <col min="3" max="3" width="13.36328125" customWidth="1"/>
    <col min="4" max="4" width="11.1796875" customWidth="1"/>
    <col min="5" max="5" width="7.54296875" customWidth="1"/>
    <col min="6" max="6" width="8" customWidth="1"/>
    <col min="7" max="7" width="10.453125" customWidth="1"/>
    <col min="8" max="8" width="21.26953125" customWidth="1"/>
    <col min="9" max="9" width="11.1796875" customWidth="1"/>
    <col min="10" max="10" width="17.08984375" customWidth="1"/>
    <col min="11" max="11" width="12.08984375" customWidth="1"/>
    <col min="12" max="12" width="15.26953125" bestFit="1" customWidth="1"/>
    <col min="13" max="13" width="15.08984375" bestFit="1" customWidth="1"/>
    <col min="14" max="14" width="12.7265625" bestFit="1" customWidth="1"/>
    <col min="15" max="15" width="19.1796875" bestFit="1" customWidth="1"/>
    <col min="16" max="16" width="17.26953125" bestFit="1" customWidth="1"/>
  </cols>
  <sheetData>
    <row r="1" spans="1:16" x14ac:dyDescent="0.35">
      <c r="A1" s="55" t="s">
        <v>132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16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x14ac:dyDescent="0.3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16" ht="15.5" x14ac:dyDescent="0.35">
      <c r="A4" s="28" t="s">
        <v>10</v>
      </c>
      <c r="B4" s="28" t="s">
        <v>11</v>
      </c>
      <c r="C4" s="28" t="s">
        <v>17</v>
      </c>
      <c r="D4" s="28" t="s">
        <v>12</v>
      </c>
      <c r="E4" s="28" t="s">
        <v>13</v>
      </c>
      <c r="F4" s="28" t="s">
        <v>14</v>
      </c>
      <c r="G4" s="29" t="s">
        <v>93</v>
      </c>
      <c r="H4" s="28" t="s">
        <v>102</v>
      </c>
      <c r="I4" s="28" t="s">
        <v>104</v>
      </c>
      <c r="J4" s="28" t="s">
        <v>103</v>
      </c>
      <c r="K4" s="28" t="s">
        <v>105</v>
      </c>
      <c r="L4" s="28" t="s">
        <v>106</v>
      </c>
      <c r="M4" s="28" t="s">
        <v>107</v>
      </c>
      <c r="N4" s="28" t="s">
        <v>108</v>
      </c>
      <c r="O4" s="28" t="s">
        <v>109</v>
      </c>
      <c r="P4" s="28" t="s">
        <v>15</v>
      </c>
    </row>
    <row r="5" spans="1:16" x14ac:dyDescent="0.35">
      <c r="A5" s="34">
        <v>3</v>
      </c>
      <c r="B5" s="34" t="s">
        <v>9</v>
      </c>
      <c r="C5" s="34" t="s">
        <v>18</v>
      </c>
      <c r="D5" s="34" t="s">
        <v>133</v>
      </c>
      <c r="E5" s="34" t="s">
        <v>16</v>
      </c>
      <c r="F5" s="35">
        <v>44342.734895833331</v>
      </c>
      <c r="G5" s="34">
        <v>229</v>
      </c>
      <c r="H5" s="34">
        <v>20.84</v>
      </c>
      <c r="I5" s="34">
        <v>9</v>
      </c>
      <c r="J5" s="34">
        <v>19.260000000000002</v>
      </c>
      <c r="K5" s="34">
        <v>190</v>
      </c>
      <c r="L5" s="34">
        <v>15</v>
      </c>
      <c r="M5" s="34">
        <v>32.1</v>
      </c>
      <c r="N5" s="34">
        <v>15</v>
      </c>
      <c r="O5" s="34">
        <v>2</v>
      </c>
      <c r="P5" s="34" t="s">
        <v>134</v>
      </c>
    </row>
    <row r="7" spans="1:16" x14ac:dyDescent="0.35">
      <c r="A7" s="46" t="s">
        <v>53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</row>
    <row r="8" spans="1:16" x14ac:dyDescent="0.3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</row>
    <row r="9" spans="1:16" ht="15.5" x14ac:dyDescent="0.35">
      <c r="A9" s="22" t="s">
        <v>45</v>
      </c>
      <c r="B9" s="22" t="s">
        <v>0</v>
      </c>
      <c r="C9" s="22" t="s">
        <v>51</v>
      </c>
      <c r="D9" s="22" t="s">
        <v>98</v>
      </c>
      <c r="E9" s="22" t="s">
        <v>48</v>
      </c>
      <c r="F9" s="22" t="s">
        <v>99</v>
      </c>
      <c r="G9" s="22" t="s">
        <v>100</v>
      </c>
      <c r="H9" s="22" t="s">
        <v>101</v>
      </c>
      <c r="I9" s="22" t="s">
        <v>1</v>
      </c>
      <c r="J9" s="22" t="s">
        <v>50</v>
      </c>
      <c r="K9" s="22" t="s">
        <v>2</v>
      </c>
      <c r="L9" s="22"/>
      <c r="M9" s="24"/>
      <c r="N9" s="20"/>
      <c r="O9" s="20"/>
      <c r="P9" s="23"/>
    </row>
    <row r="10" spans="1:16" x14ac:dyDescent="0.35">
      <c r="A10" s="36" t="s">
        <v>21</v>
      </c>
      <c r="B10" s="36" t="s">
        <v>135</v>
      </c>
      <c r="C10" s="36">
        <v>96</v>
      </c>
      <c r="D10" s="36" t="s">
        <v>136</v>
      </c>
      <c r="E10" s="36">
        <v>106</v>
      </c>
      <c r="F10" s="36"/>
      <c r="G10" s="36"/>
      <c r="H10" s="36"/>
      <c r="I10" s="36" t="s">
        <v>18</v>
      </c>
      <c r="J10" s="36">
        <v>2</v>
      </c>
      <c r="K10" s="36" t="s">
        <v>90</v>
      </c>
      <c r="L10" s="37"/>
      <c r="M10" s="37"/>
      <c r="N10" s="37"/>
      <c r="O10" s="37"/>
      <c r="P10" s="37"/>
    </row>
    <row r="11" spans="1:16" x14ac:dyDescent="0.35">
      <c r="A11" s="38" t="s">
        <v>27</v>
      </c>
      <c r="B11" s="38" t="s">
        <v>29</v>
      </c>
      <c r="C11" s="38">
        <v>97</v>
      </c>
      <c r="D11" s="38" t="s">
        <v>137</v>
      </c>
      <c r="E11" s="38">
        <v>186</v>
      </c>
      <c r="F11" s="38" t="s">
        <v>138</v>
      </c>
      <c r="G11" s="38" t="s">
        <v>139</v>
      </c>
      <c r="H11" s="38" t="s">
        <v>139</v>
      </c>
      <c r="I11" s="38" t="s">
        <v>18</v>
      </c>
      <c r="J11" s="38">
        <v>2</v>
      </c>
      <c r="K11" s="38" t="s">
        <v>140</v>
      </c>
      <c r="L11" s="39"/>
      <c r="M11" s="39"/>
      <c r="N11" s="39"/>
      <c r="O11" s="39"/>
      <c r="P11" s="39"/>
    </row>
    <row r="12" spans="1:16" x14ac:dyDescent="0.35">
      <c r="A12" s="38" t="s">
        <v>27</v>
      </c>
      <c r="B12" s="38" t="s">
        <v>30</v>
      </c>
      <c r="C12" s="38">
        <v>98</v>
      </c>
      <c r="D12" s="38" t="s">
        <v>141</v>
      </c>
      <c r="E12" s="38">
        <v>187</v>
      </c>
      <c r="F12" s="38" t="s">
        <v>142</v>
      </c>
      <c r="G12" s="38" t="s">
        <v>139</v>
      </c>
      <c r="H12" s="38" t="s">
        <v>139</v>
      </c>
      <c r="I12" s="38" t="s">
        <v>18</v>
      </c>
      <c r="J12" s="38">
        <v>2</v>
      </c>
      <c r="K12" s="38" t="s">
        <v>140</v>
      </c>
      <c r="L12" s="39"/>
      <c r="M12" s="39"/>
      <c r="N12" s="39"/>
      <c r="O12" s="39"/>
      <c r="P12" s="39"/>
    </row>
    <row r="13" spans="1:16" x14ac:dyDescent="0.35">
      <c r="A13" s="36" t="s">
        <v>22</v>
      </c>
      <c r="B13" s="36" t="s">
        <v>28</v>
      </c>
      <c r="C13" s="36">
        <v>114</v>
      </c>
      <c r="D13" s="36" t="s">
        <v>143</v>
      </c>
      <c r="E13" s="36">
        <v>112</v>
      </c>
      <c r="F13" s="36" t="s">
        <v>139</v>
      </c>
      <c r="G13" s="36" t="s">
        <v>139</v>
      </c>
      <c r="H13" s="36" t="s">
        <v>144</v>
      </c>
      <c r="I13" s="36" t="s">
        <v>18</v>
      </c>
      <c r="J13" s="36">
        <v>5</v>
      </c>
      <c r="K13" s="36" t="s">
        <v>145</v>
      </c>
      <c r="L13" s="37"/>
      <c r="M13" s="37"/>
      <c r="N13" s="37"/>
      <c r="O13" s="37"/>
      <c r="P13" s="37"/>
    </row>
  </sheetData>
  <mergeCells count="2">
    <mergeCell ref="A1:P3"/>
    <mergeCell ref="A7:P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B1"/>
  <sheetViews>
    <sheetView workbookViewId="0">
      <selection activeCell="C2" sqref="C2"/>
    </sheetView>
  </sheetViews>
  <sheetFormatPr defaultRowHeight="14.5" x14ac:dyDescent="0.35"/>
  <sheetData>
    <row r="1" spans="1:2" x14ac:dyDescent="0.35">
      <c r="A1" t="s">
        <v>147</v>
      </c>
      <c r="B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template</vt:lpstr>
      <vt:lpstr>headers</vt:lpstr>
      <vt:lpstr>Notes</vt:lpstr>
      <vt:lpstr>Top Right Nav Bar (All)</vt:lpstr>
      <vt:lpstr>lookup</vt:lpstr>
      <vt:lpstr>nrFailed</vt:lpstr>
      <vt:lpstr>nrQualifiedPass</vt:lpstr>
      <vt:lpstr>nrSummary</vt:lpstr>
      <vt:lpstr>nrUserID</vt:lpstr>
      <vt:lpstr>nrUserName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2021-06-11T17:18:00Z</dcterms:modified>
</cp:coreProperties>
</file>